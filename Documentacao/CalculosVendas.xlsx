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goncalves\source\repos\Mafrecal\Documentacao\"/>
    </mc:Choice>
  </mc:AlternateContent>
  <xr:revisionPtr revIDLastSave="0" documentId="8_{A38BA90F-4CB6-4B5C-8481-BB8F9BD09A48}" xr6:coauthVersionLast="47" xr6:coauthVersionMax="47" xr10:uidLastSave="{00000000-0000-0000-0000-000000000000}"/>
  <bookViews>
    <workbookView xWindow="-108" yWindow="-108" windowWidth="23256" windowHeight="13896" xr2:uid="{072D0B84-96FC-4ED5-B100-A084C92DB2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  <c r="I35" i="1"/>
  <c r="D35" i="1"/>
  <c r="I23" i="1"/>
  <c r="I11" i="1"/>
  <c r="G11" i="1"/>
  <c r="D11" i="1"/>
  <c r="G23" i="1"/>
  <c r="D23" i="1"/>
</calcChain>
</file>

<file path=xl/sharedStrings.xml><?xml version="1.0" encoding="utf-8"?>
<sst xmlns="http://schemas.openxmlformats.org/spreadsheetml/2006/main" count="89" uniqueCount="41">
  <si>
    <t>ItemId</t>
  </si>
  <si>
    <t>Quantity</t>
  </si>
  <si>
    <t>UnitOfSaleId</t>
  </si>
  <si>
    <t>TaxIncludedPrice</t>
  </si>
  <si>
    <t>TaxRate</t>
  </si>
  <si>
    <t>TaxPercentage</t>
  </si>
  <si>
    <t>TotalNetAmount</t>
  </si>
  <si>
    <t>TotalNetBaseTaxAmount</t>
  </si>
  <si>
    <t>TotalTaxAmount</t>
  </si>
  <si>
    <t>TotalAmount</t>
  </si>
  <si>
    <t>Bebidas</t>
  </si>
  <si>
    <t>UNI</t>
  </si>
  <si>
    <t>Cafetaria</t>
  </si>
  <si>
    <t>Padaria</t>
  </si>
  <si>
    <t>Pastelaria</t>
  </si>
  <si>
    <t>Salgados</t>
  </si>
  <si>
    <t>Snacks</t>
  </si>
  <si>
    <t>BEBIDAS</t>
  </si>
  <si>
    <t>CAFETARIA</t>
  </si>
  <si>
    <t>PADARIA</t>
  </si>
  <si>
    <t>PASTELARIA</t>
  </si>
  <si>
    <t>SALGADOS</t>
  </si>
  <si>
    <t>SNACKS</t>
  </si>
  <si>
    <t>UN</t>
  </si>
  <si>
    <t>PrecoLiquido</t>
  </si>
  <si>
    <t>TotalIliquido</t>
  </si>
  <si>
    <t>CodIva</t>
  </si>
  <si>
    <t>TaxaIva</t>
  </si>
  <si>
    <t>PrecUnit</t>
  </si>
  <si>
    <t>Unidade</t>
  </si>
  <si>
    <t>Quantidade</t>
  </si>
  <si>
    <t>Artigo</t>
  </si>
  <si>
    <t>TotalIva</t>
  </si>
  <si>
    <t>STORACE API</t>
  </si>
  <si>
    <t>PRIMAVERA WEBAPI</t>
  </si>
  <si>
    <t>PRIMAVERA MANUAL</t>
  </si>
  <si>
    <t>384.90123</t>
  </si>
  <si>
    <t>TotalMerc</t>
  </si>
  <si>
    <t>TotalDocumento</t>
  </si>
  <si>
    <t>TotalIVA</t>
  </si>
  <si>
    <t>47.20877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</si>
</sst>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D67C-0034-4002-8F9D-A53E8495B4A4}">
  <dimension ref="A1:M35"/>
  <sheetViews>
    <sheetView tabSelected="1" zoomScale="85" zoomScaleNormal="85" workbookViewId="0">
      <selection activeCell="M19" sqref="M19"/>
    </sheetView>
  </sheetViews>
  <sheetFormatPr defaultRowHeight="14.4" x14ac:dyDescent="0.3"/>
  <cols>
    <col min="1" max="2" width="8.88671875" customWidth="1"/>
    <col min="4" max="4" width="17.44140625" customWidth="1"/>
    <col min="7" max="7" width="15.21875" customWidth="1"/>
    <col min="8" max="8" width="21.77734375" bestFit="1" customWidth="1"/>
    <col min="9" max="9" width="14.6640625" bestFit="1" customWidth="1"/>
    <col min="11" max="11" width="21.109375" customWidth="1"/>
    <col min="12" max="12" width="24.21875" customWidth="1"/>
    <col min="13" max="13" width="14.88671875" bestFit="1" customWidth="1"/>
  </cols>
  <sheetData>
    <row r="1" spans="1:13" s="2" customFormat="1" x14ac:dyDescent="0.3">
      <c r="A1" s="2" t="s">
        <v>33</v>
      </c>
    </row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6</v>
      </c>
      <c r="L2" t="s">
        <v>9</v>
      </c>
      <c r="M2" t="s">
        <v>8</v>
      </c>
    </row>
    <row r="3" spans="1:13" x14ac:dyDescent="0.3">
      <c r="A3" t="s">
        <v>10</v>
      </c>
      <c r="B3">
        <v>9</v>
      </c>
      <c r="C3" t="s">
        <v>11</v>
      </c>
      <c r="D3">
        <v>15.45</v>
      </c>
      <c r="E3">
        <v>22</v>
      </c>
      <c r="F3">
        <v>22</v>
      </c>
      <c r="G3">
        <v>12.6638</v>
      </c>
      <c r="H3">
        <v>12.6638</v>
      </c>
      <c r="I3">
        <v>2.7862</v>
      </c>
      <c r="K3" s="5" t="s">
        <v>36</v>
      </c>
      <c r="L3" s="6">
        <v>432.11</v>
      </c>
      <c r="M3" s="5" t="s">
        <v>40</v>
      </c>
    </row>
    <row r="4" spans="1:13" x14ac:dyDescent="0.3">
      <c r="A4" t="s">
        <v>10</v>
      </c>
      <c r="B4">
        <v>4</v>
      </c>
      <c r="C4" t="s">
        <v>11</v>
      </c>
      <c r="D4">
        <v>7.41</v>
      </c>
      <c r="E4">
        <v>12</v>
      </c>
      <c r="F4">
        <v>12</v>
      </c>
      <c r="G4">
        <v>6.6162000000000001</v>
      </c>
      <c r="H4">
        <v>6.6162000000000001</v>
      </c>
      <c r="I4">
        <v>0.79379999999999995</v>
      </c>
    </row>
    <row r="5" spans="1:13" x14ac:dyDescent="0.3">
      <c r="A5" t="s">
        <v>12</v>
      </c>
      <c r="B5">
        <v>70</v>
      </c>
      <c r="C5" t="s">
        <v>11</v>
      </c>
      <c r="D5">
        <v>72.599999999999994</v>
      </c>
      <c r="E5">
        <v>12</v>
      </c>
      <c r="F5">
        <v>12</v>
      </c>
      <c r="G5">
        <v>64.82105</v>
      </c>
      <c r="H5">
        <v>64.82105</v>
      </c>
      <c r="I5">
        <v>7.77895</v>
      </c>
    </row>
    <row r="6" spans="1:13" x14ac:dyDescent="0.3">
      <c r="A6" t="s">
        <v>13</v>
      </c>
      <c r="B6">
        <v>247</v>
      </c>
      <c r="C6" t="s">
        <v>11</v>
      </c>
      <c r="D6">
        <v>99.46</v>
      </c>
      <c r="E6">
        <v>12</v>
      </c>
      <c r="F6">
        <v>12</v>
      </c>
      <c r="G6">
        <v>88.803600000000003</v>
      </c>
      <c r="H6">
        <v>88.803600000000003</v>
      </c>
      <c r="I6">
        <v>10.6564</v>
      </c>
    </row>
    <row r="7" spans="1:13" x14ac:dyDescent="0.3">
      <c r="A7" t="s">
        <v>14</v>
      </c>
      <c r="B7">
        <v>75.891000000000005</v>
      </c>
      <c r="C7" t="s">
        <v>11</v>
      </c>
      <c r="D7">
        <v>157.30000000000001</v>
      </c>
      <c r="E7">
        <v>12</v>
      </c>
      <c r="F7">
        <v>12</v>
      </c>
      <c r="G7">
        <v>140.44640000000001</v>
      </c>
      <c r="H7">
        <v>140.44640000000001</v>
      </c>
      <c r="I7">
        <v>16.8536</v>
      </c>
    </row>
    <row r="8" spans="1:13" x14ac:dyDescent="0.3">
      <c r="A8" t="s">
        <v>15</v>
      </c>
      <c r="B8">
        <v>11</v>
      </c>
      <c r="C8" t="s">
        <v>11</v>
      </c>
      <c r="D8">
        <v>19.5</v>
      </c>
      <c r="E8">
        <v>12</v>
      </c>
      <c r="F8">
        <v>12</v>
      </c>
      <c r="G8">
        <v>17.410699999999999</v>
      </c>
      <c r="H8">
        <v>17.410699999999999</v>
      </c>
      <c r="I8">
        <v>2.0893000000000002</v>
      </c>
    </row>
    <row r="9" spans="1:13" x14ac:dyDescent="0.3">
      <c r="A9" t="s">
        <v>16</v>
      </c>
      <c r="B9">
        <v>54</v>
      </c>
      <c r="C9" t="s">
        <v>11</v>
      </c>
      <c r="D9">
        <v>57.19</v>
      </c>
      <c r="E9">
        <v>12</v>
      </c>
      <c r="F9">
        <v>12</v>
      </c>
      <c r="G9">
        <v>51.062460000000002</v>
      </c>
      <c r="H9">
        <v>51.062460000000002</v>
      </c>
      <c r="I9">
        <v>6.1275399999999998</v>
      </c>
    </row>
    <row r="10" spans="1:13" x14ac:dyDescent="0.3">
      <c r="A10" t="s">
        <v>10</v>
      </c>
      <c r="B10">
        <v>2</v>
      </c>
      <c r="C10" t="s">
        <v>11</v>
      </c>
      <c r="D10">
        <v>3.2</v>
      </c>
      <c r="E10">
        <v>4</v>
      </c>
      <c r="F10">
        <v>4</v>
      </c>
      <c r="G10">
        <v>3.077</v>
      </c>
      <c r="H10">
        <v>3.077</v>
      </c>
      <c r="I10">
        <v>0.123</v>
      </c>
    </row>
    <row r="11" spans="1:13" x14ac:dyDescent="0.3">
      <c r="D11" s="4">
        <f>SUM(D3:D10)</f>
        <v>432.11</v>
      </c>
      <c r="G11" s="4">
        <f>SUM(G3:G10)</f>
        <v>384.90120999999999</v>
      </c>
      <c r="I11" s="4">
        <f>SUM(I3:I10)</f>
        <v>47.20879</v>
      </c>
    </row>
    <row r="13" spans="1:13" s="1" customFormat="1" x14ac:dyDescent="0.3">
      <c r="A13" s="1" t="s">
        <v>34</v>
      </c>
    </row>
    <row r="14" spans="1:13" x14ac:dyDescent="0.3">
      <c r="A14" t="s">
        <v>31</v>
      </c>
      <c r="B14" t="s">
        <v>30</v>
      </c>
      <c r="C14" t="s">
        <v>29</v>
      </c>
      <c r="D14" t="s">
        <v>28</v>
      </c>
      <c r="E14" t="s">
        <v>26</v>
      </c>
      <c r="F14" t="s">
        <v>27</v>
      </c>
      <c r="G14" t="s">
        <v>24</v>
      </c>
      <c r="H14" t="s">
        <v>25</v>
      </c>
      <c r="I14" t="s">
        <v>32</v>
      </c>
      <c r="K14" t="s">
        <v>37</v>
      </c>
      <c r="L14" t="s">
        <v>38</v>
      </c>
      <c r="M14" t="s">
        <v>39</v>
      </c>
    </row>
    <row r="15" spans="1:13" x14ac:dyDescent="0.3">
      <c r="A15" t="s">
        <v>17</v>
      </c>
      <c r="B15">
        <v>1</v>
      </c>
      <c r="C15" t="s">
        <v>23</v>
      </c>
      <c r="D15">
        <v>15.45</v>
      </c>
      <c r="E15">
        <v>22</v>
      </c>
      <c r="F15">
        <v>22</v>
      </c>
      <c r="G15">
        <v>12.6638</v>
      </c>
      <c r="H15">
        <v>12.6638</v>
      </c>
      <c r="I15">
        <v>2.7862</v>
      </c>
      <c r="K15" s="6">
        <v>384.90120999999999</v>
      </c>
      <c r="L15" s="6">
        <v>432.11</v>
      </c>
      <c r="M15" s="6">
        <v>47.208770000000001</v>
      </c>
    </row>
    <row r="16" spans="1:13" x14ac:dyDescent="0.3">
      <c r="A16" t="s">
        <v>17</v>
      </c>
      <c r="B16">
        <v>1</v>
      </c>
      <c r="C16" t="s">
        <v>23</v>
      </c>
      <c r="D16">
        <v>7.41</v>
      </c>
      <c r="E16">
        <v>12</v>
      </c>
      <c r="F16">
        <v>12</v>
      </c>
      <c r="G16">
        <v>6.6162000000000001</v>
      </c>
      <c r="H16">
        <v>6.6162000000000001</v>
      </c>
      <c r="I16">
        <v>0.79379999999999995</v>
      </c>
    </row>
    <row r="17" spans="1:13" x14ac:dyDescent="0.3">
      <c r="A17" t="s">
        <v>18</v>
      </c>
      <c r="B17">
        <v>1</v>
      </c>
      <c r="C17" t="s">
        <v>23</v>
      </c>
      <c r="D17">
        <v>72.599999999999994</v>
      </c>
      <c r="E17">
        <v>12</v>
      </c>
      <c r="F17">
        <v>12</v>
      </c>
      <c r="G17">
        <v>64.82105</v>
      </c>
      <c r="H17">
        <v>64.82105</v>
      </c>
      <c r="I17">
        <v>7.77895</v>
      </c>
    </row>
    <row r="18" spans="1:13" x14ac:dyDescent="0.3">
      <c r="A18" t="s">
        <v>19</v>
      </c>
      <c r="B18">
        <v>1</v>
      </c>
      <c r="C18" t="s">
        <v>23</v>
      </c>
      <c r="D18">
        <v>99.46</v>
      </c>
      <c r="E18">
        <v>12</v>
      </c>
      <c r="F18">
        <v>12</v>
      </c>
      <c r="G18">
        <v>88.803600000000003</v>
      </c>
      <c r="H18">
        <v>88.803600000000003</v>
      </c>
      <c r="I18">
        <v>10.6564</v>
      </c>
    </row>
    <row r="19" spans="1:13" x14ac:dyDescent="0.3">
      <c r="A19" t="s">
        <v>20</v>
      </c>
      <c r="B19">
        <v>1</v>
      </c>
      <c r="C19" t="s">
        <v>23</v>
      </c>
      <c r="D19">
        <v>157.30000000000001</v>
      </c>
      <c r="E19">
        <v>12</v>
      </c>
      <c r="F19">
        <v>12</v>
      </c>
      <c r="G19">
        <v>140.44640000000001</v>
      </c>
      <c r="H19">
        <v>140.44640000000001</v>
      </c>
      <c r="I19">
        <v>16.8536</v>
      </c>
    </row>
    <row r="20" spans="1:13" x14ac:dyDescent="0.3">
      <c r="A20" t="s">
        <v>21</v>
      </c>
      <c r="B20">
        <v>1</v>
      </c>
      <c r="C20" t="s">
        <v>23</v>
      </c>
      <c r="D20">
        <v>19.5</v>
      </c>
      <c r="E20">
        <v>12</v>
      </c>
      <c r="F20">
        <v>12</v>
      </c>
      <c r="G20">
        <v>17.410699999999999</v>
      </c>
      <c r="H20">
        <v>17.410699999999999</v>
      </c>
      <c r="I20">
        <v>2.0893000000000002</v>
      </c>
    </row>
    <row r="21" spans="1:13" x14ac:dyDescent="0.3">
      <c r="A21" t="s">
        <v>22</v>
      </c>
      <c r="B21">
        <v>1</v>
      </c>
      <c r="C21" t="s">
        <v>23</v>
      </c>
      <c r="D21">
        <v>57.19</v>
      </c>
      <c r="E21">
        <v>12</v>
      </c>
      <c r="F21">
        <v>12</v>
      </c>
      <c r="G21">
        <v>51.062460000000002</v>
      </c>
      <c r="H21">
        <v>51.062460000000002</v>
      </c>
      <c r="I21">
        <v>6.1275399999999998</v>
      </c>
    </row>
    <row r="22" spans="1:13" x14ac:dyDescent="0.3">
      <c r="A22" t="s">
        <v>17</v>
      </c>
      <c r="B22">
        <v>1</v>
      </c>
      <c r="C22" t="s">
        <v>23</v>
      </c>
      <c r="D22">
        <v>3.2</v>
      </c>
      <c r="E22">
        <v>44</v>
      </c>
      <c r="F22">
        <v>4</v>
      </c>
      <c r="G22">
        <v>3.077</v>
      </c>
      <c r="H22">
        <v>3.077</v>
      </c>
      <c r="I22">
        <v>0.123</v>
      </c>
    </row>
    <row r="23" spans="1:13" x14ac:dyDescent="0.3">
      <c r="D23" s="4">
        <f>SUM(D15:D22)</f>
        <v>432.11</v>
      </c>
      <c r="G23" s="4">
        <f>SUM(G15:G22)</f>
        <v>384.90120999999999</v>
      </c>
      <c r="I23" s="4">
        <f>SUM(I15:I22)</f>
        <v>47.20879</v>
      </c>
    </row>
    <row r="25" spans="1:13" s="3" customFormat="1" x14ac:dyDescent="0.3">
      <c r="A25" s="3" t="s">
        <v>35</v>
      </c>
    </row>
    <row r="26" spans="1:13" x14ac:dyDescent="0.3">
      <c r="A26" t="s">
        <v>31</v>
      </c>
      <c r="B26" t="s">
        <v>30</v>
      </c>
      <c r="C26" t="s">
        <v>29</v>
      </c>
      <c r="D26" t="s">
        <v>28</v>
      </c>
      <c r="E26" t="s">
        <v>26</v>
      </c>
      <c r="F26" t="s">
        <v>27</v>
      </c>
      <c r="G26" t="s">
        <v>24</v>
      </c>
      <c r="H26" t="s">
        <v>25</v>
      </c>
      <c r="I26" t="s">
        <v>32</v>
      </c>
      <c r="K26" t="s">
        <v>37</v>
      </c>
      <c r="L26" t="s">
        <v>38</v>
      </c>
      <c r="M26" t="s">
        <v>39</v>
      </c>
    </row>
    <row r="27" spans="1:13" x14ac:dyDescent="0.3">
      <c r="A27" t="s">
        <v>17</v>
      </c>
      <c r="B27">
        <v>1</v>
      </c>
      <c r="C27" t="s">
        <v>23</v>
      </c>
      <c r="D27">
        <v>15.44984</v>
      </c>
      <c r="E27">
        <v>22</v>
      </c>
      <c r="F27">
        <v>22</v>
      </c>
      <c r="G27">
        <v>12.66</v>
      </c>
      <c r="H27">
        <v>12.66</v>
      </c>
      <c r="I27">
        <v>2.79</v>
      </c>
      <c r="K27" s="6">
        <v>384.26</v>
      </c>
      <c r="L27" s="6">
        <v>432.11</v>
      </c>
      <c r="M27" s="6">
        <v>47.85</v>
      </c>
    </row>
    <row r="28" spans="1:13" x14ac:dyDescent="0.3">
      <c r="A28" t="s">
        <v>17</v>
      </c>
      <c r="B28">
        <v>1</v>
      </c>
      <c r="C28" t="s">
        <v>23</v>
      </c>
      <c r="D28">
        <v>8.0717599999999994</v>
      </c>
      <c r="E28">
        <v>12</v>
      </c>
      <c r="F28">
        <v>12</v>
      </c>
      <c r="G28">
        <v>7.21</v>
      </c>
      <c r="H28">
        <v>7.21</v>
      </c>
      <c r="I28">
        <v>0.86</v>
      </c>
    </row>
    <row r="29" spans="1:13" x14ac:dyDescent="0.3">
      <c r="A29" t="s">
        <v>20</v>
      </c>
      <c r="B29">
        <v>1</v>
      </c>
      <c r="C29" t="s">
        <v>23</v>
      </c>
      <c r="D29">
        <v>157.29997</v>
      </c>
      <c r="E29">
        <v>12</v>
      </c>
      <c r="F29">
        <v>12</v>
      </c>
      <c r="G29">
        <v>140.44999999999999</v>
      </c>
      <c r="H29">
        <v>140.44999999999999</v>
      </c>
      <c r="I29">
        <v>16.850000000000001</v>
      </c>
    </row>
    <row r="30" spans="1:13" x14ac:dyDescent="0.3">
      <c r="A30" t="s">
        <v>22</v>
      </c>
      <c r="B30">
        <v>1</v>
      </c>
      <c r="C30" t="s">
        <v>23</v>
      </c>
      <c r="D30">
        <v>62.296199999999999</v>
      </c>
      <c r="E30">
        <v>12</v>
      </c>
      <c r="F30">
        <v>12</v>
      </c>
      <c r="G30">
        <v>55.62</v>
      </c>
      <c r="H30">
        <v>55.62</v>
      </c>
      <c r="I30">
        <v>6.68</v>
      </c>
    </row>
    <row r="31" spans="1:13" x14ac:dyDescent="0.3">
      <c r="A31" t="s">
        <v>21</v>
      </c>
      <c r="B31">
        <v>1</v>
      </c>
      <c r="C31" t="s">
        <v>23</v>
      </c>
      <c r="D31">
        <v>19.499980000000001</v>
      </c>
      <c r="E31">
        <v>12</v>
      </c>
      <c r="F31">
        <v>12</v>
      </c>
      <c r="G31">
        <v>17.41</v>
      </c>
      <c r="H31">
        <v>17.41</v>
      </c>
      <c r="I31">
        <v>2.09</v>
      </c>
    </row>
    <row r="32" spans="1:13" x14ac:dyDescent="0.3">
      <c r="A32" t="s">
        <v>17</v>
      </c>
      <c r="B32">
        <v>1</v>
      </c>
      <c r="C32" t="s">
        <v>23</v>
      </c>
      <c r="D32">
        <v>3.7539400000000001</v>
      </c>
      <c r="E32">
        <v>44</v>
      </c>
      <c r="F32">
        <v>4</v>
      </c>
      <c r="G32">
        <v>3.61</v>
      </c>
      <c r="H32">
        <v>3.61</v>
      </c>
      <c r="I32">
        <v>0.14000000000000001</v>
      </c>
    </row>
    <row r="33" spans="1:9" x14ac:dyDescent="0.3">
      <c r="A33" t="s">
        <v>18</v>
      </c>
      <c r="B33">
        <v>1</v>
      </c>
      <c r="C33" t="s">
        <v>23</v>
      </c>
      <c r="D33">
        <v>72.599580000000003</v>
      </c>
      <c r="E33">
        <v>12</v>
      </c>
      <c r="F33">
        <v>12</v>
      </c>
      <c r="G33">
        <v>64.819999999999993</v>
      </c>
      <c r="H33">
        <v>64.819999999999993</v>
      </c>
      <c r="I33">
        <v>7.78</v>
      </c>
    </row>
    <row r="34" spans="1:9" x14ac:dyDescent="0.3">
      <c r="A34" t="s">
        <v>19</v>
      </c>
      <c r="B34">
        <v>1</v>
      </c>
      <c r="C34" t="s">
        <v>23</v>
      </c>
      <c r="D34">
        <v>99.460030000000003</v>
      </c>
      <c r="E34">
        <v>12</v>
      </c>
      <c r="F34">
        <v>12</v>
      </c>
      <c r="G34">
        <v>88.8</v>
      </c>
      <c r="H34">
        <v>88.8</v>
      </c>
      <c r="I34">
        <v>10.66</v>
      </c>
    </row>
    <row r="35" spans="1:9" x14ac:dyDescent="0.3">
      <c r="D35" s="4">
        <f>SUM(D27:D34)</f>
        <v>438.43130000000002</v>
      </c>
      <c r="G35" s="4">
        <f>SUM(G27:G34)</f>
        <v>390.58</v>
      </c>
      <c r="I35" s="4">
        <f>SUM(I27:I34)</f>
        <v>47.849999999999994</v>
      </c>
    </row>
  </sheetData>
  <mergeCells count="2">
    <mergeCell ref="A13:XFD13"/>
    <mergeCell ref="A25:XFD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5D2D-A123-4B01-BE04-11E7796451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Gonçalves</dc:creator>
  <cp:lastModifiedBy>Nuno Gonçalves</cp:lastModifiedBy>
  <dcterms:created xsi:type="dcterms:W3CDTF">2026-02-08T22:45:22Z</dcterms:created>
  <dcterms:modified xsi:type="dcterms:W3CDTF">2026-02-10T22:23:22Z</dcterms:modified>
</cp:coreProperties>
</file>